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FACULTAD\4to_anio\TC_2\TeoriadeCircuitos2\Labo1\Datos_Analizador\"/>
    </mc:Choice>
  </mc:AlternateContent>
  <xr:revisionPtr revIDLastSave="0" documentId="13_ncr:1_{4C889701-AEAD-43CA-9757-D73183420964}" xr6:coauthVersionLast="47" xr6:coauthVersionMax="47" xr10:uidLastSave="{00000000-0000-0000-0000-000000000000}"/>
  <bookViews>
    <workbookView xWindow="-108" yWindow="-108" windowWidth="23256" windowHeight="12576" xr2:uid="{8796BE19-A05B-40D6-8658-4EFCD82F32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10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</calcChain>
</file>

<file path=xl/sharedStrings.xml><?xml version="1.0" encoding="utf-8"?>
<sst xmlns="http://schemas.openxmlformats.org/spreadsheetml/2006/main" count="9" uniqueCount="9">
  <si>
    <t>Vinput=6</t>
  </si>
  <si>
    <t>D=-delta_fase/delta_w</t>
  </si>
  <si>
    <t>delta_w: apertura</t>
  </si>
  <si>
    <t>F [Hz]</t>
  </si>
  <si>
    <t>Voutput [V]</t>
  </si>
  <si>
    <t>Voutput [dB]</t>
  </si>
  <si>
    <t>Delta T [ms]</t>
  </si>
  <si>
    <t>Fase [pi rad]</t>
  </si>
  <si>
    <t>D [mseg]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</si>
</sst>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289560</xdr:colOff>
      <xdr:row>10</xdr:row>
      <xdr:rowOff>80010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2D38E53-E66F-BD08-D972-E4578F6F6BCE}"/>
            </a:ext>
          </a:extLst>
        </xdr:cNvPr>
        <xdr:cNvSpPr txBox="1"/>
      </xdr:nvSpPr>
      <xdr:spPr>
        <a:xfrm>
          <a:off x="6629400" y="20916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4DC0-AB24-4397-B48B-C816B59E875E}">
  <dimension ref="B6:I29"/>
  <sheetViews>
    <sheetView tabSelected="1" workbookViewId="0">
      <selection activeCell="L12" sqref="L12"/>
    </sheetView>
  </sheetViews>
  <sheetFormatPr baseColWidth="10" defaultRowHeight="14.4" x14ac:dyDescent="0.3"/>
  <sheetData>
    <row r="6" spans="2:9" x14ac:dyDescent="0.3">
      <c r="C6" t="s">
        <v>0</v>
      </c>
    </row>
    <row r="8" spans="2:9" x14ac:dyDescent="0.3"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2:9" x14ac:dyDescent="0.3">
      <c r="B9" s="3"/>
      <c r="C9" s="3"/>
      <c r="D9" s="3"/>
      <c r="E9" s="3"/>
      <c r="F9" s="3"/>
      <c r="G9" s="3"/>
      <c r="I9" t="s">
        <v>1</v>
      </c>
    </row>
    <row r="10" spans="2:9" x14ac:dyDescent="0.3">
      <c r="B10" s="1">
        <v>100</v>
      </c>
      <c r="C10" s="1">
        <v>0.16</v>
      </c>
      <c r="D10" s="1">
        <f t="shared" ref="D10:D29" si="0">20*LOG10(C10/6)</f>
        <v>-31.480625354554377</v>
      </c>
      <c r="E10" s="1">
        <v>2</v>
      </c>
      <c r="F10" s="1">
        <f>360*B10*(E10*10^-3)</f>
        <v>72</v>
      </c>
      <c r="G10" s="1"/>
      <c r="I10" t="s">
        <v>2</v>
      </c>
    </row>
    <row r="11" spans="2:9" x14ac:dyDescent="0.3">
      <c r="B11" s="1">
        <v>140</v>
      </c>
      <c r="C11" s="1">
        <v>0.5</v>
      </c>
      <c r="D11" s="1">
        <f t="shared" si="0"/>
        <v>-21.583624920952499</v>
      </c>
      <c r="E11" s="1">
        <v>1.1599999999999999</v>
      </c>
      <c r="F11" s="1">
        <f t="shared" ref="F11:F29" si="1">360*B11*(E11*10^-3)</f>
        <v>58.463999999999999</v>
      </c>
      <c r="G11" s="1"/>
    </row>
    <row r="12" spans="2:9" x14ac:dyDescent="0.3">
      <c r="B12" s="1">
        <v>180</v>
      </c>
      <c r="C12" s="1">
        <v>1.1000000000000001</v>
      </c>
      <c r="D12" s="1">
        <f t="shared" si="0"/>
        <v>-14.735171304508372</v>
      </c>
      <c r="E12" s="1">
        <v>0.64</v>
      </c>
      <c r="F12" s="1">
        <f t="shared" si="1"/>
        <v>41.472000000000001</v>
      </c>
      <c r="G12" s="1"/>
    </row>
    <row r="13" spans="2:9" x14ac:dyDescent="0.3">
      <c r="B13" s="1">
        <v>220</v>
      </c>
      <c r="C13" s="1">
        <v>2.4</v>
      </c>
      <c r="D13" s="1">
        <f t="shared" si="0"/>
        <v>-7.9588001734407534</v>
      </c>
      <c r="E13" s="1">
        <v>0.3</v>
      </c>
      <c r="F13" s="1">
        <f t="shared" si="1"/>
        <v>23.759999999999998</v>
      </c>
      <c r="G13" s="1"/>
    </row>
    <row r="14" spans="2:9" x14ac:dyDescent="0.3">
      <c r="B14" s="1">
        <v>260</v>
      </c>
      <c r="C14" s="1">
        <v>4.6399999999999997</v>
      </c>
      <c r="D14" s="1">
        <f t="shared" si="0"/>
        <v>-2.2326653965752556</v>
      </c>
      <c r="E14" s="1">
        <v>0.12</v>
      </c>
      <c r="F14" s="1">
        <f t="shared" si="1"/>
        <v>11.232000000000001</v>
      </c>
      <c r="G14" s="1"/>
    </row>
    <row r="15" spans="2:9" x14ac:dyDescent="0.3">
      <c r="B15" s="1">
        <v>300</v>
      </c>
      <c r="C15" s="1">
        <v>6</v>
      </c>
      <c r="D15" s="1">
        <f t="shared" si="0"/>
        <v>0</v>
      </c>
      <c r="E15" s="1">
        <v>-0.43</v>
      </c>
      <c r="F15" s="1">
        <f t="shared" si="1"/>
        <v>-46.44</v>
      </c>
      <c r="G15" s="1"/>
    </row>
    <row r="16" spans="2:9" x14ac:dyDescent="0.3">
      <c r="B16" s="1">
        <v>310</v>
      </c>
      <c r="C16" s="1">
        <v>6.1</v>
      </c>
      <c r="D16" s="1">
        <f t="shared" si="0"/>
        <v>0.14357169254246752</v>
      </c>
      <c r="E16" s="1">
        <v>-0.48</v>
      </c>
      <c r="F16" s="1">
        <f t="shared" si="1"/>
        <v>-53.567999999999998</v>
      </c>
      <c r="G16" s="1"/>
    </row>
    <row r="17" spans="2:7" x14ac:dyDescent="0.3">
      <c r="B17" s="1">
        <v>320</v>
      </c>
      <c r="C17" s="1">
        <v>6.16</v>
      </c>
      <c r="D17" s="1">
        <f t="shared" si="0"/>
        <v>0.22858923561563607</v>
      </c>
      <c r="E17" s="1">
        <v>-0.51</v>
      </c>
      <c r="F17" s="1">
        <f t="shared" si="1"/>
        <v>-58.752000000000002</v>
      </c>
      <c r="G17" s="1"/>
    </row>
    <row r="18" spans="2:7" x14ac:dyDescent="0.3">
      <c r="B18" s="1">
        <v>330</v>
      </c>
      <c r="C18" s="1">
        <v>6.1</v>
      </c>
      <c r="D18" s="1">
        <f t="shared" si="0"/>
        <v>0.14357169254246752</v>
      </c>
      <c r="E18" s="1">
        <v>-0.54</v>
      </c>
      <c r="F18" s="1">
        <f t="shared" si="1"/>
        <v>-64.152000000000001</v>
      </c>
      <c r="G18" s="1"/>
    </row>
    <row r="19" spans="2:7" x14ac:dyDescent="0.3">
      <c r="B19" s="1">
        <v>350</v>
      </c>
      <c r="C19" s="1">
        <v>6</v>
      </c>
      <c r="D19" s="1">
        <f t="shared" si="0"/>
        <v>0</v>
      </c>
      <c r="E19" s="1">
        <v>-0.6</v>
      </c>
      <c r="F19" s="1">
        <f t="shared" si="1"/>
        <v>-75.599999999999994</v>
      </c>
      <c r="G19" s="1"/>
    </row>
    <row r="20" spans="2:7" x14ac:dyDescent="0.3">
      <c r="B20" s="1">
        <v>400</v>
      </c>
      <c r="C20" s="1">
        <v>5.76</v>
      </c>
      <c r="D20" s="1">
        <f t="shared" si="0"/>
        <v>-0.35457533920863205</v>
      </c>
      <c r="E20" s="1">
        <v>-0.67</v>
      </c>
      <c r="F20" s="1">
        <f t="shared" si="1"/>
        <v>-96.48</v>
      </c>
      <c r="G20" s="1"/>
    </row>
    <row r="21" spans="2:7" x14ac:dyDescent="0.3">
      <c r="B21" s="1">
        <v>570</v>
      </c>
      <c r="C21" s="1">
        <v>5.36</v>
      </c>
      <c r="D21" s="1">
        <f t="shared" si="0"/>
        <v>-0.97972921381747136</v>
      </c>
      <c r="E21" s="1">
        <v>-0.57999999999999996</v>
      </c>
      <c r="F21" s="1">
        <f t="shared" si="1"/>
        <v>-119.01600000000001</v>
      </c>
      <c r="G21" s="1"/>
    </row>
    <row r="22" spans="2:7" x14ac:dyDescent="0.3">
      <c r="B22" s="1">
        <v>590</v>
      </c>
      <c r="C22" s="1">
        <v>5.36</v>
      </c>
      <c r="D22" s="1">
        <f t="shared" si="0"/>
        <v>-0.97972921381747136</v>
      </c>
      <c r="E22" s="1">
        <v>-0.56000000000000005</v>
      </c>
      <c r="F22" s="1">
        <f t="shared" si="1"/>
        <v>-118.94400000000002</v>
      </c>
      <c r="G22" s="1"/>
    </row>
    <row r="23" spans="2:7" x14ac:dyDescent="0.3">
      <c r="B23" s="1">
        <v>600</v>
      </c>
      <c r="C23" s="1">
        <v>5.3</v>
      </c>
      <c r="D23" s="1">
        <f t="shared" si="0"/>
        <v>-1.077507615657092</v>
      </c>
      <c r="E23" s="1">
        <v>-0.56999999999999995</v>
      </c>
      <c r="F23" s="1">
        <f t="shared" si="1"/>
        <v>-123.11999999999999</v>
      </c>
      <c r="G23" s="1"/>
    </row>
    <row r="24" spans="2:7" x14ac:dyDescent="0.3">
      <c r="B24" s="1">
        <v>610</v>
      </c>
      <c r="C24" s="1">
        <v>5.35</v>
      </c>
      <c r="D24" s="1">
        <f t="shared" si="0"/>
        <v>-0.9959493672483043</v>
      </c>
      <c r="E24" s="1">
        <v>-0.56000000000000005</v>
      </c>
      <c r="F24" s="1">
        <f t="shared" si="1"/>
        <v>-122.97600000000001</v>
      </c>
      <c r="G24" s="1"/>
    </row>
    <row r="25" spans="2:7" x14ac:dyDescent="0.3">
      <c r="B25" s="1">
        <v>630</v>
      </c>
      <c r="C25" s="1">
        <v>5.35</v>
      </c>
      <c r="D25" s="1">
        <f t="shared" si="0"/>
        <v>-0.9959493672483043</v>
      </c>
      <c r="E25" s="1">
        <v>-0.55000000000000004</v>
      </c>
      <c r="F25" s="1">
        <f t="shared" si="1"/>
        <v>-124.74000000000001</v>
      </c>
      <c r="G25" s="1"/>
    </row>
    <row r="26" spans="2:7" x14ac:dyDescent="0.3">
      <c r="B26" s="1">
        <v>650</v>
      </c>
      <c r="C26" s="1">
        <v>5.36</v>
      </c>
      <c r="D26" s="1">
        <f t="shared" si="0"/>
        <v>-0.97972921381747136</v>
      </c>
      <c r="E26" s="1">
        <v>-0.54</v>
      </c>
      <c r="F26" s="1">
        <f t="shared" si="1"/>
        <v>-126.36</v>
      </c>
      <c r="G26" s="1"/>
    </row>
    <row r="27" spans="2:7" x14ac:dyDescent="0.3">
      <c r="B27" s="1">
        <v>700</v>
      </c>
      <c r="C27" s="1">
        <v>5.44</v>
      </c>
      <c r="D27" s="1">
        <f t="shared" si="0"/>
        <v>-0.85104701370927394</v>
      </c>
      <c r="E27" s="1">
        <v>-0.52</v>
      </c>
      <c r="F27" s="1">
        <f t="shared" si="1"/>
        <v>-131.04000000000002</v>
      </c>
      <c r="G27" s="1"/>
    </row>
    <row r="28" spans="2:7" x14ac:dyDescent="0.3">
      <c r="B28" s="1">
        <v>1000</v>
      </c>
      <c r="C28" s="1">
        <v>5.6</v>
      </c>
      <c r="D28" s="1">
        <f t="shared" si="0"/>
        <v>-0.5992644675488652</v>
      </c>
      <c r="E28" s="1">
        <v>-0.4</v>
      </c>
      <c r="F28" s="1">
        <f t="shared" si="1"/>
        <v>-144</v>
      </c>
      <c r="G28" s="1"/>
    </row>
    <row r="29" spans="2:7" x14ac:dyDescent="0.3">
      <c r="B29" s="1">
        <v>2000</v>
      </c>
      <c r="C29" s="1">
        <v>5.7</v>
      </c>
      <c r="D29" s="1">
        <f t="shared" si="0"/>
        <v>-0.44552789422304406</v>
      </c>
      <c r="E29" s="1">
        <v>-0.224</v>
      </c>
      <c r="F29" s="1">
        <f t="shared" si="1"/>
        <v>-161.28</v>
      </c>
      <c r="G29" s="1"/>
    </row>
  </sheetData>
  <mergeCells count="6">
    <mergeCell ref="B8:B9"/>
    <mergeCell ref="C8:C9"/>
    <mergeCell ref="D8:D9"/>
    <mergeCell ref="E8:E9"/>
    <mergeCell ref="F8:F9"/>
    <mergeCell ref="G8:G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Siles</dc:creator>
  <cp:lastModifiedBy>Nahuel Siles</cp:lastModifiedBy>
  <dcterms:created xsi:type="dcterms:W3CDTF">2026-06-25T12:43:24Z</dcterms:created>
  <dcterms:modified xsi:type="dcterms:W3CDTF">2026-07-26T19:44:26Z</dcterms:modified>
</cp:coreProperties>
</file>